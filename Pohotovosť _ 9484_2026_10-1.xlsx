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2B1E9DB-5DB5-4892-945A-4388CE430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r. 2026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11" l="1"/>
  <c r="AJ11" i="11"/>
  <c r="AJ9" i="11"/>
  <c r="AJ7" i="11"/>
  <c r="AJ8" i="11"/>
  <c r="AJ6" i="11"/>
</calcChain>
</file>

<file path=xl/sharedStrings.xml><?xml version="1.0" encoding="utf-8"?>
<sst xmlns="http://schemas.openxmlformats.org/spreadsheetml/2006/main" count="62" uniqueCount="35">
  <si>
    <t xml:space="preserve">MENO  PRIEZVISKO </t>
  </si>
  <si>
    <t>elektromontér</t>
  </si>
  <si>
    <t xml:space="preserve">os.č. </t>
  </si>
  <si>
    <t>Zamestnanec vykonávajúci pracovnú pohotovosť mimo práce v zmysle § 96 Zákonníka práce súhlasí  so zaradením do  pohotovosti :</t>
  </si>
  <si>
    <t>spolu hodiny</t>
  </si>
  <si>
    <t>podpis zamestnanca</t>
  </si>
  <si>
    <t>st</t>
  </si>
  <si>
    <t>št</t>
  </si>
  <si>
    <t>pi</t>
  </si>
  <si>
    <t>so</t>
  </si>
  <si>
    <t>ne</t>
  </si>
  <si>
    <t xml:space="preserve">* ZH = zimná hotovosť </t>
  </si>
  <si>
    <t xml:space="preserve">sviatok </t>
  </si>
  <si>
    <t>SO/NE</t>
  </si>
  <si>
    <t>po</t>
  </si>
  <si>
    <t>ut</t>
  </si>
  <si>
    <t>údržby objektov</t>
  </si>
  <si>
    <t>a areálov</t>
  </si>
  <si>
    <t>Zodpovedný/schválil:</t>
  </si>
  <si>
    <t>vedúci oddelenia</t>
  </si>
  <si>
    <t>S/N, Sv. od 6,00 do 24,00 hod.                 0,9290 € za hod.</t>
  </si>
  <si>
    <t>pracovný deň od 14,00 do 24,00 hod.   0,7430 € za hod.</t>
  </si>
  <si>
    <t>Patrik Roštáš</t>
  </si>
  <si>
    <t>Roštáš Patrik</t>
  </si>
  <si>
    <t>+421 918 855 673</t>
  </si>
  <si>
    <t>Jeck Martin 0948317003</t>
  </si>
  <si>
    <t>Zvirinský Juraj 0905797030</t>
  </si>
  <si>
    <t>prevádzkový zámočník</t>
  </si>
  <si>
    <t>inštalatér</t>
  </si>
  <si>
    <t>strojný zámočník</t>
  </si>
  <si>
    <t>Ebergenyi Ernest   0907335953</t>
  </si>
  <si>
    <t>Hrčka Peter 0904371944</t>
  </si>
  <si>
    <t xml:space="preserve">Október  2026 _  PRACOVNÁ POHOTOVOSŤ  MIMO PRÁCE </t>
  </si>
  <si>
    <t>Pravda Alexander 0948505311</t>
  </si>
  <si>
    <t>Baník Jozef 0903315096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</si>
</sst>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b/>
      <sz val="12"/>
      <color rgb="FF002060"/>
      <name val="Calibri"/>
      <family val="2"/>
      <charset val="238"/>
      <scheme val="minor"/>
    </font>
    <font>
      <i/>
      <sz val="12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206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rgb="FF3F3F3F"/>
      </bottom>
      <diagonal/>
    </border>
    <border>
      <left/>
      <right style="thin">
        <color auto="1"/>
      </right>
      <top style="thick">
        <color auto="1"/>
      </top>
      <bottom style="double">
        <color rgb="FF3F3F3F"/>
      </bottom>
      <diagonal/>
    </border>
    <border>
      <left style="thick">
        <color auto="1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2" borderId="10" applyNumberFormat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5" xfId="0" applyBorder="1"/>
    <xf numFmtId="0" fontId="2" fillId="0" borderId="3" xfId="0" applyFont="1" applyBorder="1"/>
    <xf numFmtId="0" fontId="2" fillId="0" borderId="4" xfId="0" applyFont="1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0" borderId="0" xfId="0" applyFont="1"/>
    <xf numFmtId="0" fontId="12" fillId="3" borderId="0" xfId="0" applyFont="1" applyFill="1"/>
    <xf numFmtId="0" fontId="7" fillId="4" borderId="0" xfId="0" applyFont="1" applyFill="1"/>
    <xf numFmtId="0" fontId="8" fillId="2" borderId="30" xfId="1" applyFont="1" applyBorder="1"/>
    <xf numFmtId="0" fontId="5" fillId="0" borderId="9" xfId="0" applyFont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3" fontId="2" fillId="0" borderId="15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5" borderId="1" xfId="0" applyFont="1" applyFill="1" applyBorder="1"/>
    <xf numFmtId="0" fontId="10" fillId="5" borderId="22" xfId="0" applyFont="1" applyFill="1" applyBorder="1"/>
    <xf numFmtId="0" fontId="4" fillId="5" borderId="32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12" fillId="5" borderId="2" xfId="0" applyFont="1" applyFill="1" applyBorder="1" applyAlignment="1">
      <alignment vertical="center"/>
    </xf>
    <xf numFmtId="0" fontId="12" fillId="5" borderId="17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0" fillId="5" borderId="1" xfId="0" applyFill="1" applyBorder="1"/>
    <xf numFmtId="0" fontId="15" fillId="0" borderId="0" xfId="0" applyFont="1"/>
    <xf numFmtId="0" fontId="15" fillId="5" borderId="0" xfId="0" applyFont="1" applyFill="1"/>
    <xf numFmtId="1" fontId="7" fillId="5" borderId="2" xfId="0" applyNumberFormat="1" applyFont="1" applyFill="1" applyBorder="1" applyAlignment="1">
      <alignment vertical="center"/>
    </xf>
    <xf numFmtId="0" fontId="14" fillId="0" borderId="35" xfId="0" applyFont="1" applyBorder="1" applyAlignment="1">
      <alignment horizontal="center" vertical="center"/>
    </xf>
    <xf numFmtId="3" fontId="2" fillId="0" borderId="36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17" fillId="0" borderId="3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2" borderId="31" xfId="1" applyFont="1" applyBorder="1" applyAlignment="1">
      <alignment horizontal="center"/>
    </xf>
    <xf numFmtId="49" fontId="7" fillId="2" borderId="31" xfId="1" applyNumberFormat="1" applyFont="1" applyBorder="1" applyAlignment="1">
      <alignment horizontal="center"/>
    </xf>
    <xf numFmtId="0" fontId="7" fillId="5" borderId="17" xfId="0" applyFont="1" applyFill="1" applyBorder="1" applyAlignment="1">
      <alignment vertical="center"/>
    </xf>
    <xf numFmtId="1" fontId="7" fillId="5" borderId="17" xfId="0" applyNumberFormat="1" applyFont="1" applyFill="1" applyBorder="1" applyAlignment="1">
      <alignment vertical="center"/>
    </xf>
    <xf numFmtId="0" fontId="7" fillId="4" borderId="32" xfId="0" applyFont="1" applyFill="1" applyBorder="1" applyAlignment="1">
      <alignment horizontal="center"/>
    </xf>
    <xf numFmtId="0" fontId="7" fillId="4" borderId="1" xfId="0" applyFont="1" applyFill="1" applyBorder="1"/>
    <xf numFmtId="0" fontId="4" fillId="4" borderId="32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3" fillId="6" borderId="13" xfId="0" applyNumberFormat="1" applyFont="1" applyFill="1" applyBorder="1" applyAlignment="1">
      <alignment horizontal="center" vertical="center"/>
    </xf>
    <xf numFmtId="49" fontId="3" fillId="6" borderId="14" xfId="0" applyNumberFormat="1" applyFont="1" applyFill="1" applyBorder="1" applyAlignment="1">
      <alignment horizontal="center" vertical="center"/>
    </xf>
    <xf numFmtId="49" fontId="3" fillId="6" borderId="33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</cellXfs>
  <cellStyles count="2">
    <cellStyle name="Kontrolná bunka" xfId="1" builtinId="23"/>
    <cellStyle name="Normálna" xfId="0" builtinId="0"/>
  </cellStyles>
  <dxfs count="0"/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142875</xdr:rowOff>
    </xdr:from>
    <xdr:to>
      <xdr:col>1</xdr:col>
      <xdr:colOff>923925</xdr:colOff>
      <xdr:row>0</xdr:row>
      <xdr:rowOff>752475</xdr:rowOff>
    </xdr:to>
    <xdr:pic>
      <xdr:nvPicPr>
        <xdr:cNvPr id="2" name="Picture 1" descr="dpb_logo_foot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42875"/>
          <a:ext cx="6953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K20"/>
  <sheetViews>
    <sheetView tabSelected="1" workbookViewId="0">
      <selection activeCell="B9" sqref="B9"/>
    </sheetView>
  </sheetViews>
  <sheetFormatPr defaultRowHeight="15" x14ac:dyDescent="0.25"/>
  <cols>
    <col min="1" max="1" width="6.7109375" customWidth="1"/>
    <col min="2" max="2" width="19.5703125" customWidth="1"/>
    <col min="3" max="3" width="19" bestFit="1" customWidth="1"/>
    <col min="4" max="4" width="19" customWidth="1"/>
    <col min="5" max="35" width="3.28515625" customWidth="1"/>
    <col min="36" max="36" width="12.5703125" customWidth="1"/>
    <col min="37" max="37" width="19.7109375" customWidth="1"/>
  </cols>
  <sheetData>
    <row r="1" spans="1:37" ht="66" customHeight="1" thickTop="1" thickBot="1" x14ac:dyDescent="0.3">
      <c r="A1" s="5"/>
      <c r="B1" s="6"/>
      <c r="C1" s="65" t="s">
        <v>3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25"/>
      <c r="AH1" s="25"/>
      <c r="AI1" s="25"/>
      <c r="AJ1" s="6"/>
      <c r="AK1" s="10"/>
    </row>
    <row r="2" spans="1:37" ht="45.75" customHeight="1" thickTop="1" thickBot="1" x14ac:dyDescent="0.3">
      <c r="A2" s="66"/>
      <c r="B2" s="67"/>
      <c r="C2" s="67"/>
      <c r="D2" s="67"/>
      <c r="E2" s="68" t="s">
        <v>32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70"/>
      <c r="AK2" s="71" t="s">
        <v>5</v>
      </c>
    </row>
    <row r="3" spans="1:37" ht="28.5" customHeight="1" thickTop="1" thickBot="1" x14ac:dyDescent="0.3">
      <c r="A3" s="3" t="s">
        <v>2</v>
      </c>
      <c r="B3" s="4" t="s">
        <v>0</v>
      </c>
      <c r="C3" s="73" t="s">
        <v>21</v>
      </c>
      <c r="D3" s="74"/>
      <c r="E3" s="36">
        <v>1</v>
      </c>
      <c r="F3" s="35">
        <v>2</v>
      </c>
      <c r="G3" s="61">
        <v>3</v>
      </c>
      <c r="H3" s="61">
        <v>4</v>
      </c>
      <c r="I3" s="36">
        <v>5</v>
      </c>
      <c r="J3" s="36">
        <v>6</v>
      </c>
      <c r="K3" s="36">
        <v>7</v>
      </c>
      <c r="L3" s="36">
        <v>8</v>
      </c>
      <c r="M3" s="36">
        <v>9</v>
      </c>
      <c r="N3" s="59">
        <v>10</v>
      </c>
      <c r="O3" s="59">
        <v>11</v>
      </c>
      <c r="P3" s="36">
        <v>12</v>
      </c>
      <c r="Q3" s="36">
        <v>13</v>
      </c>
      <c r="R3" s="36">
        <v>14</v>
      </c>
      <c r="S3" s="36">
        <v>15</v>
      </c>
      <c r="T3" s="36">
        <v>16</v>
      </c>
      <c r="U3" s="59">
        <v>17</v>
      </c>
      <c r="V3" s="59">
        <v>18</v>
      </c>
      <c r="W3" s="36">
        <v>19</v>
      </c>
      <c r="X3" s="36">
        <v>20</v>
      </c>
      <c r="Y3" s="36">
        <v>21</v>
      </c>
      <c r="Z3" s="36">
        <v>22</v>
      </c>
      <c r="AA3" s="36">
        <v>23</v>
      </c>
      <c r="AB3" s="59">
        <v>24</v>
      </c>
      <c r="AC3" s="59">
        <v>25</v>
      </c>
      <c r="AD3" s="36">
        <v>26</v>
      </c>
      <c r="AE3" s="36">
        <v>27</v>
      </c>
      <c r="AF3" s="36">
        <v>28</v>
      </c>
      <c r="AG3" s="36">
        <v>29</v>
      </c>
      <c r="AH3" s="36">
        <v>30</v>
      </c>
      <c r="AI3" s="59">
        <v>31</v>
      </c>
      <c r="AJ3" s="34" t="s">
        <v>4</v>
      </c>
      <c r="AK3" s="72"/>
    </row>
    <row r="4" spans="1:37" ht="28.5" customHeight="1" thickTop="1" thickBot="1" x14ac:dyDescent="0.3">
      <c r="A4" s="2"/>
      <c r="B4" s="1"/>
      <c r="C4" s="75" t="s">
        <v>20</v>
      </c>
      <c r="D4" s="76"/>
      <c r="E4" s="33" t="s">
        <v>7</v>
      </c>
      <c r="F4" s="33" t="s">
        <v>8</v>
      </c>
      <c r="G4" s="60" t="s">
        <v>9</v>
      </c>
      <c r="H4" s="60" t="s">
        <v>10</v>
      </c>
      <c r="I4" s="33" t="s">
        <v>14</v>
      </c>
      <c r="J4" s="33" t="s">
        <v>15</v>
      </c>
      <c r="K4" s="33" t="s">
        <v>6</v>
      </c>
      <c r="L4" s="33" t="s">
        <v>7</v>
      </c>
      <c r="M4" s="33" t="s">
        <v>8</v>
      </c>
      <c r="N4" s="60" t="s">
        <v>9</v>
      </c>
      <c r="O4" s="60" t="s">
        <v>10</v>
      </c>
      <c r="P4" s="33" t="s">
        <v>14</v>
      </c>
      <c r="Q4" s="33" t="s">
        <v>15</v>
      </c>
      <c r="R4" s="33" t="s">
        <v>6</v>
      </c>
      <c r="S4" s="33" t="s">
        <v>7</v>
      </c>
      <c r="T4" s="33" t="s">
        <v>8</v>
      </c>
      <c r="U4" s="60" t="s">
        <v>9</v>
      </c>
      <c r="V4" s="60" t="s">
        <v>10</v>
      </c>
      <c r="W4" s="33" t="s">
        <v>14</v>
      </c>
      <c r="X4" s="33" t="s">
        <v>15</v>
      </c>
      <c r="Y4" s="33" t="s">
        <v>6</v>
      </c>
      <c r="Z4" s="33" t="s">
        <v>7</v>
      </c>
      <c r="AA4" s="33" t="s">
        <v>8</v>
      </c>
      <c r="AB4" s="60" t="s">
        <v>9</v>
      </c>
      <c r="AC4" s="60" t="s">
        <v>10</v>
      </c>
      <c r="AD4" s="33" t="s">
        <v>14</v>
      </c>
      <c r="AE4" s="33" t="s">
        <v>15</v>
      </c>
      <c r="AF4" s="33" t="s">
        <v>6</v>
      </c>
      <c r="AG4" s="33" t="s">
        <v>7</v>
      </c>
      <c r="AH4" s="33" t="s">
        <v>8</v>
      </c>
      <c r="AI4" s="60" t="s">
        <v>9</v>
      </c>
      <c r="AJ4" s="41"/>
      <c r="AK4" s="11"/>
    </row>
    <row r="5" spans="1:37" ht="29.25" customHeight="1" thickTop="1" thickBot="1" x14ac:dyDescent="0.3">
      <c r="A5" s="24">
        <v>12861</v>
      </c>
      <c r="B5" s="55" t="s">
        <v>23</v>
      </c>
      <c r="C5" s="55" t="s">
        <v>19</v>
      </c>
      <c r="D5" s="56" t="s">
        <v>24</v>
      </c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4"/>
    </row>
    <row r="6" spans="1:37" s="7" customFormat="1" ht="32.25" customHeight="1" thickTop="1" x14ac:dyDescent="0.25">
      <c r="A6" s="50">
        <v>12757</v>
      </c>
      <c r="B6" s="51" t="s">
        <v>33</v>
      </c>
      <c r="C6" s="39" t="s">
        <v>1</v>
      </c>
      <c r="D6" s="27"/>
      <c r="E6" s="20">
        <v>10</v>
      </c>
      <c r="F6" s="20">
        <v>10</v>
      </c>
      <c r="G6" s="20">
        <v>18</v>
      </c>
      <c r="H6" s="20">
        <v>18</v>
      </c>
      <c r="I6" s="20">
        <v>10</v>
      </c>
      <c r="J6" s="20">
        <v>10</v>
      </c>
      <c r="K6" s="20">
        <v>10</v>
      </c>
      <c r="L6" s="20">
        <v>10</v>
      </c>
      <c r="M6" s="20">
        <v>10</v>
      </c>
      <c r="N6" s="20">
        <v>18</v>
      </c>
      <c r="O6" s="20">
        <v>18</v>
      </c>
      <c r="P6" s="20">
        <v>10</v>
      </c>
      <c r="Q6" s="20">
        <v>10</v>
      </c>
      <c r="R6" s="20">
        <v>10</v>
      </c>
      <c r="S6" s="20">
        <v>10</v>
      </c>
      <c r="T6" s="20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4">
        <f>SUM(E6:AI6)</f>
        <v>182</v>
      </c>
      <c r="AK6" s="12"/>
    </row>
    <row r="7" spans="1:37" s="7" customFormat="1" ht="32.25" customHeight="1" x14ac:dyDescent="0.25">
      <c r="A7" s="50">
        <v>7827</v>
      </c>
      <c r="B7" s="54" t="s">
        <v>30</v>
      </c>
      <c r="C7" s="39" t="s">
        <v>29</v>
      </c>
      <c r="D7" s="28"/>
      <c r="E7" s="20">
        <v>10</v>
      </c>
      <c r="F7" s="20">
        <v>10</v>
      </c>
      <c r="G7" s="20">
        <v>18</v>
      </c>
      <c r="H7" s="20">
        <v>18</v>
      </c>
      <c r="I7" s="20">
        <v>10</v>
      </c>
      <c r="J7" s="20">
        <v>10</v>
      </c>
      <c r="K7" s="20">
        <v>10</v>
      </c>
      <c r="L7" s="20">
        <v>10</v>
      </c>
      <c r="M7" s="20">
        <v>10</v>
      </c>
      <c r="N7" s="20">
        <v>18</v>
      </c>
      <c r="O7" s="20">
        <v>18</v>
      </c>
      <c r="P7" s="20">
        <v>10</v>
      </c>
      <c r="Q7" s="20">
        <v>10</v>
      </c>
      <c r="R7" s="20">
        <v>10</v>
      </c>
      <c r="S7" s="20">
        <v>10</v>
      </c>
      <c r="T7" s="20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4">
        <f t="shared" ref="AJ7:AJ8" si="0">SUM(E7:AI7)</f>
        <v>182</v>
      </c>
      <c r="AK7" s="12"/>
    </row>
    <row r="8" spans="1:37" s="7" customFormat="1" ht="32.25" customHeight="1" x14ac:dyDescent="0.25">
      <c r="A8" s="50">
        <v>13275</v>
      </c>
      <c r="B8" s="54" t="s">
        <v>25</v>
      </c>
      <c r="C8" s="39" t="s">
        <v>28</v>
      </c>
      <c r="D8" s="28"/>
      <c r="E8" s="20">
        <v>10</v>
      </c>
      <c r="F8" s="20">
        <v>10</v>
      </c>
      <c r="G8" s="20">
        <v>18</v>
      </c>
      <c r="H8" s="20">
        <v>18</v>
      </c>
      <c r="I8" s="20">
        <v>10</v>
      </c>
      <c r="J8" s="20">
        <v>10</v>
      </c>
      <c r="K8" s="20">
        <v>10</v>
      </c>
      <c r="L8" s="20">
        <v>10</v>
      </c>
      <c r="M8" s="20">
        <v>10</v>
      </c>
      <c r="N8" s="20">
        <v>18</v>
      </c>
      <c r="O8" s="20">
        <v>18</v>
      </c>
      <c r="P8" s="20">
        <v>10</v>
      </c>
      <c r="Q8" s="20">
        <v>10</v>
      </c>
      <c r="R8" s="20">
        <v>10</v>
      </c>
      <c r="S8" s="20">
        <v>10</v>
      </c>
      <c r="T8" s="20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4">
        <f t="shared" si="0"/>
        <v>182</v>
      </c>
      <c r="AK8" s="12"/>
    </row>
    <row r="9" spans="1:37" s="7" customFormat="1" ht="32.25" customHeight="1" x14ac:dyDescent="0.25">
      <c r="A9" s="50">
        <v>4706</v>
      </c>
      <c r="B9" s="51" t="s">
        <v>34</v>
      </c>
      <c r="C9" s="39" t="s">
        <v>1</v>
      </c>
      <c r="D9" s="2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0">
        <v>10</v>
      </c>
      <c r="U9" s="20">
        <v>18</v>
      </c>
      <c r="V9" s="20">
        <v>18</v>
      </c>
      <c r="W9" s="20">
        <v>10</v>
      </c>
      <c r="X9" s="20">
        <v>10</v>
      </c>
      <c r="Y9" s="20">
        <v>10</v>
      </c>
      <c r="Z9" s="20">
        <v>10</v>
      </c>
      <c r="AA9" s="20">
        <v>10</v>
      </c>
      <c r="AB9" s="20">
        <v>18</v>
      </c>
      <c r="AC9" s="20">
        <v>18</v>
      </c>
      <c r="AD9" s="44">
        <v>10</v>
      </c>
      <c r="AE9" s="20">
        <v>10</v>
      </c>
      <c r="AF9" s="20">
        <v>10</v>
      </c>
      <c r="AG9" s="37">
        <v>10</v>
      </c>
      <c r="AH9" s="37">
        <v>10</v>
      </c>
      <c r="AI9" s="37">
        <v>18</v>
      </c>
      <c r="AJ9" s="14">
        <f>SUM(T9:AI9)</f>
        <v>200</v>
      </c>
      <c r="AK9" s="12"/>
    </row>
    <row r="10" spans="1:37" s="7" customFormat="1" ht="32.25" customHeight="1" x14ac:dyDescent="0.25">
      <c r="A10" s="49">
        <v>12539</v>
      </c>
      <c r="B10" s="54" t="s">
        <v>26</v>
      </c>
      <c r="C10" s="45" t="s">
        <v>27</v>
      </c>
      <c r="D10" s="46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17"/>
      <c r="T10" s="20">
        <v>10</v>
      </c>
      <c r="U10" s="20">
        <v>18</v>
      </c>
      <c r="V10" s="20">
        <v>18</v>
      </c>
      <c r="W10" s="20">
        <v>10</v>
      </c>
      <c r="X10" s="20">
        <v>10</v>
      </c>
      <c r="Y10" s="20">
        <v>10</v>
      </c>
      <c r="Z10" s="20">
        <v>10</v>
      </c>
      <c r="AA10" s="20">
        <v>10</v>
      </c>
      <c r="AB10" s="20">
        <v>18</v>
      </c>
      <c r="AC10" s="20">
        <v>18</v>
      </c>
      <c r="AD10" s="44">
        <v>10</v>
      </c>
      <c r="AE10" s="20">
        <v>10</v>
      </c>
      <c r="AF10" s="20">
        <v>10</v>
      </c>
      <c r="AG10" s="37">
        <v>10</v>
      </c>
      <c r="AH10" s="37">
        <v>10</v>
      </c>
      <c r="AI10" s="37">
        <v>18</v>
      </c>
      <c r="AJ10" s="14">
        <f t="shared" ref="AJ10:AJ11" si="1">SUM(T10:AI10)</f>
        <v>200</v>
      </c>
      <c r="AK10" s="48"/>
    </row>
    <row r="11" spans="1:37" s="7" customFormat="1" ht="32.25" customHeight="1" thickBot="1" x14ac:dyDescent="0.3">
      <c r="A11" s="52">
        <v>7414</v>
      </c>
      <c r="B11" s="53" t="s">
        <v>31</v>
      </c>
      <c r="C11" s="40" t="s">
        <v>28</v>
      </c>
      <c r="D11" s="2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57">
        <v>10</v>
      </c>
      <c r="U11" s="57">
        <v>18</v>
      </c>
      <c r="V11" s="57">
        <v>18</v>
      </c>
      <c r="W11" s="57">
        <v>10</v>
      </c>
      <c r="X11" s="57">
        <v>10</v>
      </c>
      <c r="Y11" s="57">
        <v>10</v>
      </c>
      <c r="Z11" s="57">
        <v>10</v>
      </c>
      <c r="AA11" s="57">
        <v>10</v>
      </c>
      <c r="AB11" s="57">
        <v>18</v>
      </c>
      <c r="AC11" s="57">
        <v>18</v>
      </c>
      <c r="AD11" s="58">
        <v>10</v>
      </c>
      <c r="AE11" s="57">
        <v>10</v>
      </c>
      <c r="AF11" s="57">
        <v>10</v>
      </c>
      <c r="AG11" s="38">
        <v>10</v>
      </c>
      <c r="AH11" s="38">
        <v>10</v>
      </c>
      <c r="AI11" s="38">
        <v>18</v>
      </c>
      <c r="AJ11" s="15">
        <f t="shared" si="1"/>
        <v>200</v>
      </c>
      <c r="AK11" s="13"/>
    </row>
    <row r="12" spans="1:37" s="7" customFormat="1" ht="16.5" thickTop="1" x14ac:dyDescent="0.25">
      <c r="D12" s="16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6"/>
      <c r="AH12" s="26"/>
      <c r="AI12" s="26"/>
      <c r="AJ12" s="16"/>
    </row>
    <row r="13" spans="1:37" ht="15.75" thickBot="1" x14ac:dyDescent="0.3">
      <c r="B13" s="8" t="s">
        <v>18</v>
      </c>
      <c r="C13" s="31" t="s">
        <v>22</v>
      </c>
      <c r="D13" s="30" t="s">
        <v>19</v>
      </c>
      <c r="E13" s="9"/>
      <c r="F13" s="9"/>
      <c r="G13" s="9"/>
      <c r="H13" s="9"/>
      <c r="I13" s="9"/>
      <c r="J13" s="9"/>
    </row>
    <row r="14" spans="1:37" ht="15.75" thickTop="1" x14ac:dyDescent="0.25">
      <c r="D14" s="30" t="s">
        <v>16</v>
      </c>
    </row>
    <row r="15" spans="1:37" x14ac:dyDescent="0.25">
      <c r="D15" s="30" t="s">
        <v>17</v>
      </c>
    </row>
    <row r="17" spans="2:4" x14ac:dyDescent="0.25">
      <c r="D17" s="32"/>
    </row>
    <row r="18" spans="2:4" ht="15.75" x14ac:dyDescent="0.25">
      <c r="B18" s="21" t="s">
        <v>11</v>
      </c>
      <c r="D18" s="43"/>
    </row>
    <row r="19" spans="2:4" ht="15.75" x14ac:dyDescent="0.25">
      <c r="B19" s="22" t="s">
        <v>12</v>
      </c>
      <c r="D19" s="42"/>
    </row>
    <row r="20" spans="2:4" ht="15.75" x14ac:dyDescent="0.25">
      <c r="B20" s="23" t="s">
        <v>13</v>
      </c>
    </row>
  </sheetData>
  <mergeCells count="7">
    <mergeCell ref="E5:AK5"/>
    <mergeCell ref="C1:AF1"/>
    <mergeCell ref="A2:D2"/>
    <mergeCell ref="E2:AJ2"/>
    <mergeCell ref="AK2:AK3"/>
    <mergeCell ref="C3:D3"/>
    <mergeCell ref="C4:D4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 r.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2026-09-29T06:10:08Z</dcterms:modified>
</cp:coreProperties>
</file>